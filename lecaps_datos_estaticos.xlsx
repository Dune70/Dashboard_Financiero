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IA\Dashboard_Financiero\"/>
    </mc:Choice>
  </mc:AlternateContent>
  <xr:revisionPtr revIDLastSave="0" documentId="13_ncr:20001_{03061B5A-B822-4C70-A576-0F4A82A8B28F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Instrumentos" sheetId="1" r:id="rId1"/>
    <sheet name="Instrucciones" sheetId="2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9" i="1" l="1"/>
  <c r="M19" i="1" s="1"/>
  <c r="J18" i="1"/>
  <c r="M18" i="1" s="1"/>
  <c r="J17" i="1"/>
  <c r="M17" i="1" s="1"/>
  <c r="J16" i="1"/>
  <c r="M16" i="1" s="1"/>
  <c r="J15" i="1"/>
  <c r="L15" i="1" s="1"/>
  <c r="J14" i="1"/>
  <c r="M14" i="1" s="1"/>
  <c r="J13" i="1"/>
  <c r="M13" i="1" s="1"/>
  <c r="J12" i="1"/>
  <c r="M12" i="1" s="1"/>
  <c r="J11" i="1"/>
  <c r="M11" i="1" s="1"/>
  <c r="J10" i="1"/>
  <c r="M10" i="1" s="1"/>
  <c r="J9" i="1"/>
  <c r="M9" i="1" s="1"/>
  <c r="J8" i="1"/>
  <c r="M8" i="1" s="1"/>
  <c r="J7" i="1"/>
  <c r="M7" i="1" s="1"/>
  <c r="J6" i="1"/>
  <c r="M6" i="1" s="1"/>
  <c r="M15" i="1" l="1"/>
  <c r="K9" i="1"/>
  <c r="L9" i="1"/>
  <c r="K17" i="1"/>
  <c r="L17" i="1"/>
  <c r="K13" i="1"/>
  <c r="K7" i="1"/>
  <c r="L13" i="1"/>
  <c r="L7" i="1"/>
  <c r="K11" i="1"/>
  <c r="L11" i="1"/>
  <c r="K15" i="1"/>
  <c r="K19" i="1"/>
  <c r="L19" i="1"/>
  <c r="K18" i="1"/>
  <c r="L18" i="1"/>
  <c r="K6" i="1"/>
  <c r="K8" i="1"/>
  <c r="K10" i="1"/>
  <c r="K12" i="1"/>
  <c r="K14" i="1"/>
  <c r="K16" i="1"/>
  <c r="L6" i="1"/>
  <c r="L8" i="1"/>
  <c r="L10" i="1"/>
  <c r="L12" i="1"/>
  <c r="L14" i="1"/>
  <c r="L16" i="1"/>
</calcChain>
</file>

<file path=xl/sharedStrings.xml><?xml version="1.0" encoding="utf-8"?>
<sst xmlns="http://schemas.openxmlformats.org/spreadsheetml/2006/main" count="132" uniqueCount="100">
  <si>
    <t>HERRAMIENTAS FINANCIERAS AR — Datos Estáticos de Instrumentos</t>
  </si>
  <si>
    <t>Completar los campos en AZUL. Los campos en VERDE se calculan automáticamente. Guardar y subir el archivo al proyecto para actualizar el dashboard.</t>
  </si>
  <si>
    <t>Ticker</t>
  </si>
  <si>
    <t>Tipo</t>
  </si>
  <si>
    <t>Vencimiento
(YYYY-MM-DD)</t>
  </si>
  <si>
    <t>Val. Vto.
(precio al vto)</t>
  </si>
  <si>
    <t>Precio Limpio
(opcional)</t>
  </si>
  <si>
    <t>Int. Corrido
(opcional)</t>
  </si>
  <si>
    <t>Paridad
(opcional, %)</t>
  </si>
  <si>
    <t>Tasa Cupón
(% anual)</t>
  </si>
  <si>
    <t>Período Cupón
(días)</t>
  </si>
  <si>
    <t>Días al Vto.
(fórmula)</t>
  </si>
  <si>
    <t>TIR Ref.
(fórmula %)</t>
  </si>
  <si>
    <t>TNA Ref.
(fórmula %)</t>
  </si>
  <si>
    <t>TEM Ref.
(fórmula %)</t>
  </si>
  <si>
    <t>Ej: S17A6</t>
  </si>
  <si>
    <t>LECAP o BONCAP</t>
  </si>
  <si>
    <t>Ej: 2026-04-17</t>
  </si>
  <si>
    <t>Ej: 1.1013
(1 + cupón acumulado)</t>
  </si>
  <si>
    <t>IOL: precio limpio</t>
  </si>
  <si>
    <t>IOL: int. corrido</t>
  </si>
  <si>
    <t>Ej: 1.0032 → 100.32%</t>
  </si>
  <si>
    <t>Solo si paga cupones</t>
  </si>
  <si>
    <t>Ej: 90 (trimestral)</t>
  </si>
  <si>
    <t>AUTO</t>
  </si>
  <si>
    <t>S17A6</t>
  </si>
  <si>
    <t>LECAP</t>
  </si>
  <si>
    <t>2026-04-17</t>
  </si>
  <si>
    <t>S30A6</t>
  </si>
  <si>
    <t>2026-04-30</t>
  </si>
  <si>
    <t>S15Y6</t>
  </si>
  <si>
    <t>2026-05-15</t>
  </si>
  <si>
    <t>S29Y6</t>
  </si>
  <si>
    <t>2026-05-29</t>
  </si>
  <si>
    <t>T30J6</t>
  </si>
  <si>
    <t>BONCAP</t>
  </si>
  <si>
    <t>2026-06-30</t>
  </si>
  <si>
    <t>S31L6</t>
  </si>
  <si>
    <t>2026-07-31</t>
  </si>
  <si>
    <t>S31G6</t>
  </si>
  <si>
    <t>2026-08-31</t>
  </si>
  <si>
    <t>S30S6</t>
  </si>
  <si>
    <t>2026-09-30</t>
  </si>
  <si>
    <t>S30O6</t>
  </si>
  <si>
    <t>2026-10-30</t>
  </si>
  <si>
    <t>S30N6</t>
  </si>
  <si>
    <t>2026-11-30</t>
  </si>
  <si>
    <t>T15E7</t>
  </si>
  <si>
    <t>2027-01-15</t>
  </si>
  <si>
    <t>T30A7</t>
  </si>
  <si>
    <t>2027-04-30</t>
  </si>
  <si>
    <t>T31Y7</t>
  </si>
  <si>
    <t>2027-05-31</t>
  </si>
  <si>
    <t>T30J7</t>
  </si>
  <si>
    <t>2027-06-30</t>
  </si>
  <si>
    <t>INSTRUCCIONES</t>
  </si>
  <si>
    <t>Cómo completar y usar este archivo</t>
  </si>
  <si>
    <t>CAMPO</t>
  </si>
  <si>
    <t>DESCRIPCIÓN</t>
  </si>
  <si>
    <t>ticker</t>
  </si>
  <si>
    <t>Código del instrumento en BYMA/IOL. Ej: S17A6, T30J6</t>
  </si>
  <si>
    <t>tipo</t>
  </si>
  <si>
    <t>LECAP o BONCAP (mayúsculas)</t>
  </si>
  <si>
    <t>vencimiento</t>
  </si>
  <si>
    <t>Fecha de vencimiento en formato YYYY-MM-DD. Ej: 2026-04-17</t>
  </si>
  <si>
    <t>val_vto</t>
  </si>
  <si>
    <t>Valor al vencimiento por cada $1 VN. Para LECAPs/BONCAPs = 1 + cupón acumulado total. Ej: 1.1013</t>
  </si>
  <si>
    <t>clean_price</t>
  </si>
  <si>
    <t>(Opcional) Precio limpio del bono según IOL. Se usa para cálculo de intereses corridos</t>
  </si>
  <si>
    <t>int_corrido</t>
  </si>
  <si>
    <t>(Opcional) Intereses corridos al momento. IOL lo provee en el detalle del bono</t>
  </si>
  <si>
    <t>paridad</t>
  </si>
  <si>
    <t>(Opcional) Paridad del bono = precio_limpio / valor_técnico. Ej: 1.0032</t>
  </si>
  <si>
    <t>tasa_cupon</t>
  </si>
  <si>
    <t>(Opcional) Solo para bonos con cupón periódico. Tasa de cupón anual en decimal. Ej: 0.085</t>
  </si>
  <si>
    <t>periodo_cupon</t>
  </si>
  <si>
    <t>(Opcional) Días entre pagos de cupón. Ej: 90 (trimestral), 180 (semestral)</t>
  </si>
  <si>
    <t>FÓRMULAS AUTO</t>
  </si>
  <si>
    <t>Columnas calculadas automáticamente</t>
  </si>
  <si>
    <t>días al vto</t>
  </si>
  <si>
    <t>TIR ref.</t>
  </si>
  <si>
    <t>TNA ref.</t>
  </si>
  <si>
    <t>TEM ref.</t>
  </si>
  <si>
    <t>WORKFLOW</t>
  </si>
  <si>
    <t>Cómo usar este archivo con el dashboard</t>
  </si>
  <si>
    <t>Paso 1</t>
  </si>
  <si>
    <t>Completar o actualizar los campos en AZUL (ticker, tipo, vencimiento, val_vto)</t>
  </si>
  <si>
    <t>Paso 2</t>
  </si>
  <si>
    <t>Guardar como lecaps_static.json (se puede hacer con el script de conversión)</t>
  </si>
  <si>
    <t>Paso 3</t>
  </si>
  <si>
    <t>Subir el JSON al repo de GitHub Pages en /data/</t>
  </si>
  <si>
    <t>Paso 4</t>
  </si>
  <si>
    <t>El dashboard carga el JSON + precios live de IOL y calcula TIR/TNA/TEA/TEM</t>
  </si>
  <si>
    <t>FUENTES</t>
  </si>
  <si>
    <t>Dónde obtener los datos</t>
  </si>
  <si>
    <t>IOL → Detalle del bono → 'Valor al vencimiento' o calcular desde flujos de caja</t>
  </si>
  <si>
    <t>IOL → Cotización → campo 'Precio limpio'</t>
  </si>
  <si>
    <t>IOL → Cotización → campo 'Intereses corridos'</t>
  </si>
  <si>
    <t>Bonistas.com o calcular: precio_limpio / valor_técnico × 100</t>
  </si>
  <si>
    <t>NO PAGA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</si>
</sst>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&quot;%&quot;"/>
    <numFmt numFmtId="165" formatCode="0.000&quot;%&quot;"/>
  </numFmts>
  <fonts count="15" x14ac:knownFonts="1">
    <font>
      <sz val="11"/>
      <color theme="1"/>
      <name val="Calibri"/>
      <family val="2"/>
      <scheme val="minor"/>
    </font>
    <font>
      <b/>
      <sz val="13"/>
      <color rgb="FF63CA98"/>
      <name val="Arial"/>
    </font>
    <font>
      <i/>
      <sz val="10"/>
      <color rgb="FF8892A6"/>
      <name val="Arial"/>
    </font>
    <font>
      <b/>
      <sz val="10"/>
      <color rgb="FFF0F2F5"/>
      <name val="Arial"/>
    </font>
    <font>
      <b/>
      <sz val="10"/>
      <color rgb="FFE6B96A"/>
      <name val="Arial"/>
    </font>
    <font>
      <b/>
      <sz val="10"/>
      <color rgb="FF63CA98"/>
      <name val="Arial"/>
    </font>
    <font>
      <i/>
      <sz val="8"/>
      <color rgb="FF8892A6"/>
      <name val="Arial"/>
    </font>
    <font>
      <b/>
      <sz val="10"/>
      <color rgb="FF3B82F6"/>
      <name val="Arial"/>
    </font>
    <font>
      <sz val="10"/>
      <color rgb="FF63CA98"/>
      <name val="Arial"/>
    </font>
    <font>
      <b/>
      <sz val="10"/>
      <color rgb="FF7C6FF7"/>
      <name val="Arial"/>
    </font>
    <font>
      <b/>
      <sz val="14"/>
      <color rgb="FF63CA98"/>
      <name val="Arial"/>
    </font>
    <font>
      <i/>
      <sz val="11"/>
      <color rgb="FF8892A6"/>
      <name val="Arial"/>
    </font>
    <font>
      <sz val="10"/>
      <color rgb="FF8892A6"/>
      <name val="Arial"/>
    </font>
    <font>
      <sz val="10"/>
      <color rgb="FFF0F2F5"/>
      <name val="Arial"/>
    </font>
    <font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D0F14"/>
      </patternFill>
    </fill>
    <fill>
      <patternFill patternType="solid">
        <fgColor rgb="FF13161D"/>
      </patternFill>
    </fill>
    <fill>
      <patternFill patternType="solid">
        <fgColor rgb="FF1A1E28"/>
      </patternFill>
    </fill>
  </fills>
  <borders count="2">
    <border>
      <left/>
      <right/>
      <top/>
      <bottom/>
      <diagonal/>
    </border>
    <border>
      <left style="thin">
        <color rgb="FF2A2F3D"/>
      </left>
      <right style="thin">
        <color rgb="FF2A2F3D"/>
      </right>
      <top style="thin">
        <color rgb="FF2A2F3D"/>
      </top>
      <bottom style="thin">
        <color rgb="FF2A2F3D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1" fontId="8" fillId="4" borderId="1" xfId="0" applyNumberFormat="1" applyFont="1" applyFill="1" applyBorder="1" applyAlignment="1">
      <alignment horizontal="center" vertical="center"/>
    </xf>
    <xf numFmtId="164" fontId="8" fillId="4" borderId="1" xfId="0" applyNumberFormat="1" applyFont="1" applyFill="1" applyBorder="1" applyAlignment="1">
      <alignment horizontal="center" vertical="center"/>
    </xf>
    <xf numFmtId="165" fontId="8" fillId="4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64" fontId="8" fillId="3" borderId="1" xfId="0" applyNumberFormat="1" applyFont="1" applyFill="1" applyBorder="1" applyAlignment="1">
      <alignment horizontal="center" vertical="center"/>
    </xf>
    <xf numFmtId="165" fontId="8" fillId="3" borderId="1" xfId="0" applyNumberFormat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0" fillId="2" borderId="0" xfId="0" applyFill="1" applyAlignment="1">
      <alignment vertical="center" wrapText="1"/>
    </xf>
    <xf numFmtId="0" fontId="10" fillId="2" borderId="0" xfId="0" applyFont="1" applyFill="1" applyAlignment="1">
      <alignment vertical="center" wrapText="1"/>
    </xf>
    <xf numFmtId="0" fontId="11" fillId="2" borderId="0" xfId="0" applyFont="1" applyFill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12" fillId="2" borderId="0" xfId="0" applyFont="1" applyFill="1" applyAlignment="1">
      <alignment vertical="center" wrapText="1"/>
    </xf>
    <xf numFmtId="0" fontId="5" fillId="2" borderId="0" xfId="0" applyFont="1" applyFill="1" applyAlignment="1">
      <alignment vertical="center" wrapText="1"/>
    </xf>
    <xf numFmtId="0" fontId="13" fillId="2" borderId="0" xfId="0" applyFont="1" applyFill="1" applyAlignment="1">
      <alignment vertical="center" wrapText="1"/>
    </xf>
    <xf numFmtId="0" fontId="2" fillId="2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7AF7DD2-1127-4FF8-AA66-147FB71144F5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54f23104-491d-49f2-8e6b-c831cbd72fc0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showGridLines="0" tabSelected="1" workbookViewId="0">
      <pane ySplit="5" topLeftCell="A6" activePane="bottomLeft" state="frozen"/>
      <selection pane="bottomLeft" activeCell="Q8" sqref="Q8"/>
    </sheetView>
  </sheetViews>
  <sheetFormatPr baseColWidth="10" defaultColWidth="8.88671875" defaultRowHeight="14.4" x14ac:dyDescent="0.3"/>
  <cols>
    <col min="1" max="1" width="14" customWidth="1"/>
    <col min="2" max="2" width="10" customWidth="1"/>
    <col min="3" max="3" width="18" customWidth="1"/>
    <col min="4" max="10" width="16" customWidth="1"/>
    <col min="11" max="13" width="14" customWidth="1"/>
  </cols>
  <sheetData>
    <row r="1" spans="1:13" ht="28.05" customHeight="1" x14ac:dyDescent="0.3">
      <c r="A1" s="27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</row>
    <row r="2" spans="1:13" ht="18" customHeight="1" x14ac:dyDescent="0.3">
      <c r="A2" s="25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</row>
    <row r="4" spans="1:13" ht="36" customHeight="1" x14ac:dyDescent="0.3">
      <c r="A4" s="1" t="s">
        <v>2</v>
      </c>
      <c r="B4" s="1" t="s">
        <v>3</v>
      </c>
      <c r="C4" s="1" t="s">
        <v>4</v>
      </c>
      <c r="D4" s="2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spans="1:13" ht="30" customHeight="1" x14ac:dyDescent="0.3">
      <c r="A5" s="4" t="s">
        <v>15</v>
      </c>
      <c r="B5" s="4" t="s">
        <v>16</v>
      </c>
      <c r="C5" s="4" t="s">
        <v>17</v>
      </c>
      <c r="D5" s="4" t="s">
        <v>18</v>
      </c>
      <c r="E5" s="4" t="s">
        <v>19</v>
      </c>
      <c r="F5" s="4" t="s">
        <v>20</v>
      </c>
      <c r="G5" s="4" t="s">
        <v>21</v>
      </c>
      <c r="H5" s="4" t="s">
        <v>22</v>
      </c>
      <c r="I5" s="4" t="s">
        <v>23</v>
      </c>
      <c r="J5" s="4" t="s">
        <v>24</v>
      </c>
      <c r="K5" s="4" t="s">
        <v>24</v>
      </c>
      <c r="L5" s="4" t="s">
        <v>24</v>
      </c>
      <c r="M5" s="4" t="s">
        <v>24</v>
      </c>
    </row>
    <row r="6" spans="1:13" ht="22.05" customHeight="1" x14ac:dyDescent="0.3">
      <c r="A6" s="5" t="s">
        <v>25</v>
      </c>
      <c r="B6" s="6" t="s">
        <v>26</v>
      </c>
      <c r="C6" s="28" t="s">
        <v>27</v>
      </c>
      <c r="D6" s="28">
        <v>1.1012999999999999</v>
      </c>
      <c r="E6" s="28">
        <v>1.0034000000000001</v>
      </c>
      <c r="F6" s="28">
        <v>0.08</v>
      </c>
      <c r="G6" s="28">
        <v>1.0032000000000001</v>
      </c>
      <c r="H6" s="28" t="s">
        <v>99</v>
      </c>
      <c r="I6" s="28">
        <v>0</v>
      </c>
      <c r="J6" s="7">
        <f t="shared" ref="J6:J19" ca="1" si="0">MAX(0,INT(DATE(LEFT(C6,4),MID(C6,6,2),RIGHT(C6,2))-TODAY()))</f>
        <v>0</v>
      </c>
      <c r="K6" s="8" t="str">
        <f t="shared" ref="K6:K19" ca="1" si="1">IF(J6&gt;0,((D6/D6)^(365/J6)-1)*100,"—")</f>
        <v>—</v>
      </c>
      <c r="L6" s="8" t="str">
        <f t="shared" ref="L6:L19" ca="1" si="2">IF(J6&gt;0,(D6/D6-1)*(365/J6)*100,"—")</f>
        <v>—</v>
      </c>
      <c r="M6" s="9" t="str">
        <f t="shared" ref="M6:M19" ca="1" si="3">IF(J6&gt;0,((D6/D6)^(30/J6)-1)*100,"—")</f>
        <v>—</v>
      </c>
    </row>
    <row r="7" spans="1:13" ht="22.05" customHeight="1" x14ac:dyDescent="0.3">
      <c r="A7" s="10" t="s">
        <v>28</v>
      </c>
      <c r="B7" s="11" t="s">
        <v>26</v>
      </c>
      <c r="C7" s="29" t="s">
        <v>29</v>
      </c>
      <c r="D7" s="29">
        <v>1.2748600000000001</v>
      </c>
      <c r="E7" s="29">
        <v>1.0235000000000001</v>
      </c>
      <c r="F7" s="29">
        <v>0.22</v>
      </c>
      <c r="G7" s="29">
        <v>1.0193000000000001</v>
      </c>
      <c r="H7" s="29" t="s">
        <v>99</v>
      </c>
      <c r="I7" s="29">
        <v>0</v>
      </c>
      <c r="J7" s="12">
        <f t="shared" ca="1" si="0"/>
        <v>13</v>
      </c>
      <c r="K7" s="13">
        <f t="shared" ca="1" si="1"/>
        <v>0</v>
      </c>
      <c r="L7" s="13">
        <f t="shared" ca="1" si="2"/>
        <v>0</v>
      </c>
      <c r="M7" s="14">
        <f t="shared" ca="1" si="3"/>
        <v>0</v>
      </c>
    </row>
    <row r="8" spans="1:13" ht="22.05" customHeight="1" x14ac:dyDescent="0.3">
      <c r="A8" s="5" t="s">
        <v>30</v>
      </c>
      <c r="B8" s="6" t="s">
        <v>26</v>
      </c>
      <c r="C8" s="28" t="s">
        <v>31</v>
      </c>
      <c r="D8" s="29">
        <v>1.0517799999999999</v>
      </c>
      <c r="E8" s="28">
        <v>1.0069999999999999</v>
      </c>
      <c r="F8" s="28">
        <v>0.01</v>
      </c>
      <c r="G8" s="28">
        <v>1.0069999999999999</v>
      </c>
      <c r="H8" s="29" t="s">
        <v>99</v>
      </c>
      <c r="I8" s="29">
        <v>0</v>
      </c>
      <c r="J8" s="7">
        <f t="shared" ca="1" si="0"/>
        <v>28</v>
      </c>
      <c r="K8" s="8">
        <f t="shared" ca="1" si="1"/>
        <v>0</v>
      </c>
      <c r="L8" s="8">
        <f t="shared" ca="1" si="2"/>
        <v>0</v>
      </c>
      <c r="M8" s="9">
        <f t="shared" ca="1" si="3"/>
        <v>0</v>
      </c>
    </row>
    <row r="9" spans="1:13" ht="22.05" customHeight="1" x14ac:dyDescent="0.3">
      <c r="A9" s="10" t="s">
        <v>32</v>
      </c>
      <c r="B9" s="11" t="s">
        <v>26</v>
      </c>
      <c r="C9" s="29" t="s">
        <v>33</v>
      </c>
      <c r="D9" s="29">
        <v>1.3204400000000001</v>
      </c>
      <c r="E9" s="29">
        <v>1.0063</v>
      </c>
      <c r="F9" s="29">
        <v>0.25</v>
      </c>
      <c r="G9" s="29">
        <v>1.0049999999999999</v>
      </c>
      <c r="H9" s="29" t="s">
        <v>99</v>
      </c>
      <c r="I9" s="29">
        <v>0</v>
      </c>
      <c r="J9" s="12">
        <f t="shared" ca="1" si="0"/>
        <v>42</v>
      </c>
      <c r="K9" s="13">
        <f t="shared" ca="1" si="1"/>
        <v>0</v>
      </c>
      <c r="L9" s="13">
        <f t="shared" ca="1" si="2"/>
        <v>0</v>
      </c>
      <c r="M9" s="14">
        <f t="shared" ca="1" si="3"/>
        <v>0</v>
      </c>
    </row>
    <row r="10" spans="1:13" ht="22.05" customHeight="1" x14ac:dyDescent="0.3">
      <c r="A10" s="5" t="s">
        <v>34</v>
      </c>
      <c r="B10" s="15" t="s">
        <v>35</v>
      </c>
      <c r="C10" s="28" t="s">
        <v>36</v>
      </c>
      <c r="D10" s="28">
        <v>1.44896</v>
      </c>
      <c r="E10" s="28">
        <v>0.99399999999999999</v>
      </c>
      <c r="F10" s="28">
        <v>0.35</v>
      </c>
      <c r="G10" s="28">
        <v>0.99550000000000005</v>
      </c>
      <c r="H10" s="29" t="s">
        <v>99</v>
      </c>
      <c r="I10" s="29">
        <v>0</v>
      </c>
      <c r="J10" s="7">
        <f t="shared" ca="1" si="0"/>
        <v>74</v>
      </c>
      <c r="K10" s="8">
        <f t="shared" ca="1" si="1"/>
        <v>0</v>
      </c>
      <c r="L10" s="8">
        <f t="shared" ca="1" si="2"/>
        <v>0</v>
      </c>
      <c r="M10" s="9">
        <f t="shared" ca="1" si="3"/>
        <v>0</v>
      </c>
    </row>
    <row r="11" spans="1:13" ht="22.05" customHeight="1" x14ac:dyDescent="0.3">
      <c r="A11" s="10" t="s">
        <v>37</v>
      </c>
      <c r="B11" s="11" t="s">
        <v>26</v>
      </c>
      <c r="C11" s="29" t="s">
        <v>38</v>
      </c>
      <c r="D11" s="29">
        <v>1.1767700000000001</v>
      </c>
      <c r="E11" s="29">
        <v>1.0219</v>
      </c>
      <c r="F11" s="29">
        <v>0.05</v>
      </c>
      <c r="G11" s="29">
        <v>1.0208999999999999</v>
      </c>
      <c r="H11" s="29" t="s">
        <v>99</v>
      </c>
      <c r="I11" s="29">
        <v>0</v>
      </c>
      <c r="J11" s="12">
        <f t="shared" ca="1" si="0"/>
        <v>105</v>
      </c>
      <c r="K11" s="13">
        <f t="shared" ca="1" si="1"/>
        <v>0</v>
      </c>
      <c r="L11" s="13">
        <f t="shared" ca="1" si="2"/>
        <v>0</v>
      </c>
      <c r="M11" s="14">
        <f t="shared" ca="1" si="3"/>
        <v>0</v>
      </c>
    </row>
    <row r="12" spans="1:13" ht="22.05" customHeight="1" x14ac:dyDescent="0.3">
      <c r="A12" s="5" t="s">
        <v>39</v>
      </c>
      <c r="B12" s="6" t="s">
        <v>26</v>
      </c>
      <c r="C12" s="28" t="s">
        <v>40</v>
      </c>
      <c r="D12" s="28">
        <v>1.27064</v>
      </c>
      <c r="E12" s="28">
        <v>1.0163</v>
      </c>
      <c r="F12" s="28">
        <v>0.12</v>
      </c>
      <c r="G12" s="28">
        <v>1.0145999999999999</v>
      </c>
      <c r="H12" s="29" t="s">
        <v>99</v>
      </c>
      <c r="I12" s="29">
        <v>0</v>
      </c>
      <c r="J12" s="7">
        <f t="shared" ca="1" si="0"/>
        <v>136</v>
      </c>
      <c r="K12" s="8">
        <f t="shared" ca="1" si="1"/>
        <v>0</v>
      </c>
      <c r="L12" s="8">
        <f t="shared" ca="1" si="2"/>
        <v>0</v>
      </c>
      <c r="M12" s="9">
        <f t="shared" ca="1" si="3"/>
        <v>0</v>
      </c>
    </row>
    <row r="13" spans="1:13" ht="22.05" customHeight="1" x14ac:dyDescent="0.3">
      <c r="A13" s="10" t="s">
        <v>41</v>
      </c>
      <c r="B13" s="11" t="s">
        <v>26</v>
      </c>
      <c r="C13" s="29" t="s">
        <v>42</v>
      </c>
      <c r="D13" s="28">
        <v>1.17536</v>
      </c>
      <c r="E13" s="29">
        <v>1.0132000000000001</v>
      </c>
      <c r="F13" s="29">
        <v>0.01</v>
      </c>
      <c r="G13" s="29">
        <v>1.0130999999999999</v>
      </c>
      <c r="H13" s="29" t="s">
        <v>99</v>
      </c>
      <c r="I13" s="29">
        <v>0</v>
      </c>
      <c r="J13" s="12">
        <f t="shared" ca="1" si="0"/>
        <v>166</v>
      </c>
      <c r="K13" s="13">
        <f t="shared" ca="1" si="1"/>
        <v>0</v>
      </c>
      <c r="L13" s="13">
        <f t="shared" ca="1" si="2"/>
        <v>0</v>
      </c>
      <c r="M13" s="14">
        <f t="shared" ca="1" si="3"/>
        <v>0</v>
      </c>
    </row>
    <row r="14" spans="1:13" ht="22.05" customHeight="1" x14ac:dyDescent="0.3">
      <c r="A14" s="5" t="s">
        <v>43</v>
      </c>
      <c r="B14" s="6" t="s">
        <v>26</v>
      </c>
      <c r="C14" s="28" t="s">
        <v>44</v>
      </c>
      <c r="D14" s="28">
        <v>1.3527800000000001</v>
      </c>
      <c r="E14" s="28">
        <v>1.1487000000000001</v>
      </c>
      <c r="F14" s="28">
        <v>0</v>
      </c>
      <c r="G14" s="28">
        <v>1.1487000000000001</v>
      </c>
      <c r="H14" s="29" t="s">
        <v>99</v>
      </c>
      <c r="I14" s="29">
        <v>0</v>
      </c>
      <c r="J14" s="7">
        <f t="shared" ca="1" si="0"/>
        <v>196</v>
      </c>
      <c r="K14" s="8">
        <f t="shared" ca="1" si="1"/>
        <v>0</v>
      </c>
      <c r="L14" s="8">
        <f t="shared" ca="1" si="2"/>
        <v>0</v>
      </c>
      <c r="M14" s="9">
        <f t="shared" ca="1" si="3"/>
        <v>0</v>
      </c>
    </row>
    <row r="15" spans="1:13" ht="22.05" customHeight="1" x14ac:dyDescent="0.3">
      <c r="A15" s="10" t="s">
        <v>45</v>
      </c>
      <c r="B15" s="11" t="s">
        <v>26</v>
      </c>
      <c r="C15" s="29" t="s">
        <v>46</v>
      </c>
      <c r="D15" s="29">
        <v>1.29888</v>
      </c>
      <c r="E15" s="29">
        <v>1.0740000000000001</v>
      </c>
      <c r="F15" s="29">
        <v>0</v>
      </c>
      <c r="G15" s="29">
        <v>1.0740000000000001</v>
      </c>
      <c r="H15" s="29" t="s">
        <v>99</v>
      </c>
      <c r="I15" s="29">
        <v>0</v>
      </c>
      <c r="J15" s="12">
        <f t="shared" ca="1" si="0"/>
        <v>227</v>
      </c>
      <c r="K15" s="13">
        <f t="shared" ca="1" si="1"/>
        <v>0</v>
      </c>
      <c r="L15" s="13">
        <f t="shared" ca="1" si="2"/>
        <v>0</v>
      </c>
      <c r="M15" s="14">
        <f t="shared" ca="1" si="3"/>
        <v>0</v>
      </c>
    </row>
    <row r="16" spans="1:13" ht="22.05" customHeight="1" x14ac:dyDescent="0.3">
      <c r="A16" s="5" t="s">
        <v>47</v>
      </c>
      <c r="B16" s="15" t="s">
        <v>35</v>
      </c>
      <c r="C16" s="28" t="s">
        <v>48</v>
      </c>
      <c r="D16" s="28">
        <v>1.61104</v>
      </c>
      <c r="E16" s="28">
        <v>0.95920000000000005</v>
      </c>
      <c r="F16" s="28">
        <v>0.32</v>
      </c>
      <c r="G16" s="28">
        <v>0.96919999999999995</v>
      </c>
      <c r="H16" s="29" t="s">
        <v>99</v>
      </c>
      <c r="I16" s="29">
        <v>0</v>
      </c>
      <c r="J16" s="7">
        <f t="shared" ca="1" si="0"/>
        <v>273</v>
      </c>
      <c r="K16" s="8">
        <f t="shared" ca="1" si="1"/>
        <v>0</v>
      </c>
      <c r="L16" s="8">
        <f t="shared" ca="1" si="2"/>
        <v>0</v>
      </c>
      <c r="M16" s="9">
        <f t="shared" ca="1" si="3"/>
        <v>0</v>
      </c>
    </row>
    <row r="17" spans="1:13" ht="22.05" customHeight="1" x14ac:dyDescent="0.3">
      <c r="A17" s="10" t="s">
        <v>49</v>
      </c>
      <c r="B17" s="16" t="s">
        <v>35</v>
      </c>
      <c r="C17" s="29" t="s">
        <v>50</v>
      </c>
      <c r="D17" s="29">
        <v>1.57341</v>
      </c>
      <c r="E17" s="29">
        <v>1.1625000000000001</v>
      </c>
      <c r="F17" s="29">
        <v>0</v>
      </c>
      <c r="G17" s="29">
        <v>1.1625000000000001</v>
      </c>
      <c r="H17" s="29" t="s">
        <v>99</v>
      </c>
      <c r="I17" s="29">
        <v>0</v>
      </c>
      <c r="J17" s="12">
        <f t="shared" ca="1" si="0"/>
        <v>378</v>
      </c>
      <c r="K17" s="13">
        <f t="shared" ca="1" si="1"/>
        <v>0</v>
      </c>
      <c r="L17" s="13">
        <f t="shared" ca="1" si="2"/>
        <v>0</v>
      </c>
      <c r="M17" s="14">
        <f t="shared" ca="1" si="3"/>
        <v>0</v>
      </c>
    </row>
    <row r="18" spans="1:13" ht="22.05" customHeight="1" x14ac:dyDescent="0.3">
      <c r="A18" s="5" t="s">
        <v>51</v>
      </c>
      <c r="B18" s="15" t="s">
        <v>35</v>
      </c>
      <c r="C18" s="28" t="s">
        <v>52</v>
      </c>
      <c r="D18" s="28">
        <v>1.51563</v>
      </c>
      <c r="E18" s="28">
        <v>1.0920000000000001</v>
      </c>
      <c r="F18" s="28">
        <v>0</v>
      </c>
      <c r="G18" s="28">
        <v>1.0920000000000001</v>
      </c>
      <c r="H18" s="29" t="s">
        <v>99</v>
      </c>
      <c r="I18" s="29">
        <v>0</v>
      </c>
      <c r="J18" s="7">
        <f t="shared" ca="1" si="0"/>
        <v>409</v>
      </c>
      <c r="K18" s="8">
        <f t="shared" ca="1" si="1"/>
        <v>0</v>
      </c>
      <c r="L18" s="8">
        <f t="shared" ca="1" si="2"/>
        <v>0</v>
      </c>
      <c r="M18" s="9">
        <f t="shared" ca="1" si="3"/>
        <v>0</v>
      </c>
    </row>
    <row r="19" spans="1:13" ht="22.05" customHeight="1" x14ac:dyDescent="0.3">
      <c r="A19" s="10" t="s">
        <v>53</v>
      </c>
      <c r="B19" s="16" t="s">
        <v>35</v>
      </c>
      <c r="C19" s="29" t="s">
        <v>54</v>
      </c>
      <c r="D19" s="29">
        <v>1.56037</v>
      </c>
      <c r="E19" s="29">
        <v>1.0465</v>
      </c>
      <c r="F19" s="29">
        <v>0.06</v>
      </c>
      <c r="G19" s="29">
        <v>1.0439000000000001</v>
      </c>
      <c r="H19" s="29" t="s">
        <v>99</v>
      </c>
      <c r="I19" s="29">
        <v>0</v>
      </c>
      <c r="J19" s="12">
        <f t="shared" ca="1" si="0"/>
        <v>439</v>
      </c>
      <c r="K19" s="13">
        <f t="shared" ca="1" si="1"/>
        <v>0</v>
      </c>
      <c r="L19" s="13">
        <f t="shared" ca="1" si="2"/>
        <v>0</v>
      </c>
      <c r="M19" s="14">
        <f t="shared" ca="1" si="3"/>
        <v>0</v>
      </c>
    </row>
  </sheetData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31"/>
  <sheetViews>
    <sheetView showGridLines="0" workbookViewId="0"/>
  </sheetViews>
  <sheetFormatPr baseColWidth="10" defaultColWidth="8.88671875" defaultRowHeight="14.4" x14ac:dyDescent="0.3"/>
  <cols>
    <col min="1" max="1" width="3" customWidth="1"/>
    <col min="2" max="2" width="22" customWidth="1"/>
    <col min="3" max="3" width="60" customWidth="1"/>
  </cols>
  <sheetData>
    <row r="1" spans="2:3" ht="19.95" customHeight="1" x14ac:dyDescent="0.3">
      <c r="B1" s="17"/>
      <c r="C1" s="17"/>
    </row>
    <row r="2" spans="2:3" ht="19.95" customHeight="1" x14ac:dyDescent="0.3">
      <c r="B2" s="18" t="s">
        <v>55</v>
      </c>
      <c r="C2" s="19" t="s">
        <v>56</v>
      </c>
    </row>
    <row r="3" spans="2:3" ht="19.95" customHeight="1" x14ac:dyDescent="0.3">
      <c r="B3" s="17"/>
      <c r="C3" s="17"/>
    </row>
    <row r="4" spans="2:3" ht="19.95" customHeight="1" x14ac:dyDescent="0.3">
      <c r="B4" s="20" t="s">
        <v>57</v>
      </c>
      <c r="C4" s="20" t="s">
        <v>58</v>
      </c>
    </row>
    <row r="5" spans="2:3" ht="19.95" customHeight="1" x14ac:dyDescent="0.3">
      <c r="B5" s="21" t="s">
        <v>59</v>
      </c>
      <c r="C5" s="22" t="s">
        <v>60</v>
      </c>
    </row>
    <row r="6" spans="2:3" ht="19.95" customHeight="1" x14ac:dyDescent="0.3">
      <c r="B6" s="21" t="s">
        <v>61</v>
      </c>
      <c r="C6" s="22" t="s">
        <v>62</v>
      </c>
    </row>
    <row r="7" spans="2:3" ht="19.95" customHeight="1" x14ac:dyDescent="0.3">
      <c r="B7" s="21" t="s">
        <v>63</v>
      </c>
      <c r="C7" s="22" t="s">
        <v>64</v>
      </c>
    </row>
    <row r="8" spans="2:3" ht="19.95" customHeight="1" x14ac:dyDescent="0.3">
      <c r="B8" s="21" t="s">
        <v>65</v>
      </c>
      <c r="C8" s="22" t="s">
        <v>66</v>
      </c>
    </row>
    <row r="9" spans="2:3" ht="19.95" customHeight="1" x14ac:dyDescent="0.3">
      <c r="B9" s="21" t="s">
        <v>67</v>
      </c>
      <c r="C9" s="22" t="s">
        <v>68</v>
      </c>
    </row>
    <row r="10" spans="2:3" ht="19.95" customHeight="1" x14ac:dyDescent="0.3">
      <c r="B10" s="21" t="s">
        <v>69</v>
      </c>
      <c r="C10" s="22" t="s">
        <v>70</v>
      </c>
    </row>
    <row r="11" spans="2:3" ht="19.95" customHeight="1" x14ac:dyDescent="0.3">
      <c r="B11" s="21" t="s">
        <v>71</v>
      </c>
      <c r="C11" s="22" t="s">
        <v>72</v>
      </c>
    </row>
    <row r="12" spans="2:3" ht="19.95" customHeight="1" x14ac:dyDescent="0.3">
      <c r="B12" s="21" t="s">
        <v>73</v>
      </c>
      <c r="C12" s="22" t="s">
        <v>74</v>
      </c>
    </row>
    <row r="13" spans="2:3" ht="19.95" customHeight="1" x14ac:dyDescent="0.3">
      <c r="B13" s="21" t="s">
        <v>75</v>
      </c>
      <c r="C13" s="22" t="s">
        <v>76</v>
      </c>
    </row>
    <row r="14" spans="2:3" ht="19.95" customHeight="1" x14ac:dyDescent="0.3">
      <c r="B14" s="17"/>
      <c r="C14" s="17"/>
    </row>
    <row r="15" spans="2:3" ht="19.95" customHeight="1" x14ac:dyDescent="0.3">
      <c r="B15" s="20" t="s">
        <v>77</v>
      </c>
      <c r="C15" s="20" t="s">
        <v>78</v>
      </c>
    </row>
    <row r="16" spans="2:3" ht="19.95" customHeight="1" x14ac:dyDescent="0.3">
      <c r="B16" s="21" t="s">
        <v>79</v>
      </c>
      <c r="C16" s="22"/>
    </row>
    <row r="17" spans="2:3" ht="19.95" customHeight="1" x14ac:dyDescent="0.3">
      <c r="B17" s="21" t="s">
        <v>80</v>
      </c>
      <c r="C17" s="22"/>
    </row>
    <row r="18" spans="2:3" ht="19.95" customHeight="1" x14ac:dyDescent="0.3">
      <c r="B18" s="21" t="s">
        <v>81</v>
      </c>
      <c r="C18" s="22"/>
    </row>
    <row r="19" spans="2:3" ht="19.95" customHeight="1" x14ac:dyDescent="0.3">
      <c r="B19" s="21" t="s">
        <v>82</v>
      </c>
      <c r="C19" s="22"/>
    </row>
    <row r="20" spans="2:3" ht="19.95" customHeight="1" x14ac:dyDescent="0.3">
      <c r="B20" s="17"/>
      <c r="C20" s="17"/>
    </row>
    <row r="21" spans="2:3" ht="19.95" customHeight="1" x14ac:dyDescent="0.3">
      <c r="B21" s="20" t="s">
        <v>83</v>
      </c>
      <c r="C21" s="20" t="s">
        <v>84</v>
      </c>
    </row>
    <row r="22" spans="2:3" ht="19.95" customHeight="1" x14ac:dyDescent="0.3">
      <c r="B22" s="23" t="s">
        <v>85</v>
      </c>
      <c r="C22" s="24" t="s">
        <v>86</v>
      </c>
    </row>
    <row r="23" spans="2:3" ht="19.95" customHeight="1" x14ac:dyDescent="0.3">
      <c r="B23" s="23" t="s">
        <v>87</v>
      </c>
      <c r="C23" s="24" t="s">
        <v>88</v>
      </c>
    </row>
    <row r="24" spans="2:3" ht="19.95" customHeight="1" x14ac:dyDescent="0.3">
      <c r="B24" s="23" t="s">
        <v>89</v>
      </c>
      <c r="C24" s="24" t="s">
        <v>90</v>
      </c>
    </row>
    <row r="25" spans="2:3" ht="19.95" customHeight="1" x14ac:dyDescent="0.3">
      <c r="B25" s="23" t="s">
        <v>91</v>
      </c>
      <c r="C25" s="24" t="s">
        <v>92</v>
      </c>
    </row>
    <row r="26" spans="2:3" ht="19.95" customHeight="1" x14ac:dyDescent="0.3">
      <c r="B26" s="17"/>
      <c r="C26" s="17"/>
    </row>
    <row r="27" spans="2:3" ht="19.95" customHeight="1" x14ac:dyDescent="0.3">
      <c r="B27" s="20" t="s">
        <v>93</v>
      </c>
      <c r="C27" s="20" t="s">
        <v>94</v>
      </c>
    </row>
    <row r="28" spans="2:3" ht="19.95" customHeight="1" x14ac:dyDescent="0.3">
      <c r="B28" s="21" t="s">
        <v>65</v>
      </c>
      <c r="C28" s="22" t="s">
        <v>95</v>
      </c>
    </row>
    <row r="29" spans="2:3" ht="19.95" customHeight="1" x14ac:dyDescent="0.3">
      <c r="B29" s="21" t="s">
        <v>67</v>
      </c>
      <c r="C29" s="22" t="s">
        <v>96</v>
      </c>
    </row>
    <row r="30" spans="2:3" ht="19.95" customHeight="1" x14ac:dyDescent="0.3">
      <c r="B30" s="21" t="s">
        <v>69</v>
      </c>
      <c r="C30" s="22" t="s">
        <v>97</v>
      </c>
    </row>
    <row r="31" spans="2:3" ht="19.95" customHeight="1" x14ac:dyDescent="0.3">
      <c r="B31" s="21" t="s">
        <v>71</v>
      </c>
      <c r="C31" s="22" t="s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Instrumentos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Dune</cp:lastModifiedBy>
  <dcterms:created xsi:type="dcterms:W3CDTF">2026-04-18T00:05:22Z</dcterms:created>
  <dcterms:modified xsi:type="dcterms:W3CDTF">2026-04-18T00:23:45Z</dcterms:modified>
</cp:coreProperties>
</file>